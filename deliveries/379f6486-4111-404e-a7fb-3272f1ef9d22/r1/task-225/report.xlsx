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fd1022a043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ртфель" sheetId="1" r:id="R79eabf87fe2342b5"/>
    <x:sheet xmlns:r="http://schemas.openxmlformats.org/officeDocument/2006/relationships" name="Данные" sheetId="2" r:id="R54f202fd08a443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;(#,##0.00);0.00"/>
    <x:numFmt numFmtId="201" formatCode="0.000000"/>
    <x:numFmt numFmtId="202" formatCode="0"/>
    <x:numFmt numFmtId="203" formatCode="0.00%"/>
  </x:numFmts>
  <x:fonts count="5">
    <x:font>
      <x:sz val="11"/>
      <x:name val="Carlito"/>
    </x:font>
    <x:font>
      <x:sz val="10"/>
      <x:color rgb="FF182C45"/>
      <x:name val="Arial"/>
    </x:font>
    <x:font>
      <x:b/>
      <x:sz val="14"/>
      <x:color rgb="FF183153"/>
      <x:name val="Arial"/>
    </x:font>
    <x:font>
      <x:b/>
      <x:sz val="10"/>
      <x:color rgb="FFFFFFFF"/>
      <x:name val="Arial"/>
    </x:font>
    <x:font>
      <x:sz val="10"/>
      <x:color rgb="FF186A3B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153"/>
      </x:patternFill>
    </x:fill>
    <x:fill>
      <x:patternFill patternType="solid">
        <x:fgColor rgb="FFF0F4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2fa0ec8aa54330" /><Relationship Type="http://schemas.openxmlformats.org/officeDocument/2006/relationships/theme" Target="/xl/theme/theme1.xml" Id="R1b7beeae6e61428f" /><Relationship Type="http://schemas.openxmlformats.org/officeDocument/2006/relationships/sharedStrings" Target="/xl/sharedStrings.xml" Id="R6287f40aa7434615" /><Relationship Type="http://schemas.openxmlformats.org/officeDocument/2006/relationships/worksheet" Target="/xl/worksheets/sheet1.xml" Id="R79eabf87fe2342b5" /><Relationship Type="http://schemas.openxmlformats.org/officeDocument/2006/relationships/worksheet" Target="/xl/worksheets/sheet2.xml" Id="R54f202fd08a443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 xmlns="http://schemas.openxmlformats.org/spreadsheetml/2006/main">
  <x:sheetPr>
    <x:tabColor rgb="FF183153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/>
      <x:c r="B1" s="2"/>
      <x:c r="C1" s="2"/>
      <x:c r="D1" s="2"/>
      <x:c r="E1" s="2"/>
      <x:c r="F1" s="2"/>
      <x:c r="G1" s="2"/>
      <x:c r="H1" s="2"/>
    </x:row>
    <x:row r="2" ht="22" customHeight="1">
      <x:c r="A2" s="3" t="str">
        <x:v>Кредитный портфель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 t="str">
        <x:v>Январь–июнь 2026. Синтетические данные. Суммы в RUB.</x:v>
      </x:c>
      <x:c r="B3" s="2"/>
      <x:c r="C3" s="2"/>
      <x:c r="D3" s="2"/>
      <x:c r="E3" s="2"/>
      <x:c r="F3" s="2"/>
      <x:c r="G3" s="2"/>
      <x:c r="H3" s="2"/>
    </x:row>
    <x:row r="4" ht="22" customHeight="1">
      <x:c r="A4" s="2"/>
      <x:c r="B4" s="2"/>
      <x:c r="C4" s="2"/>
      <x:c r="D4" s="2"/>
      <x:c r="E4" s="2"/>
      <x:c r="F4" s="2"/>
      <x:c r="G4" s="2"/>
      <x:c r="H4" s="2"/>
    </x:row>
    <x:row r="5" ht="32" customHeight="1">
      <x:c r="A5" s="7" t="str">
        <x:v>Месяц</x:v>
      </x:c>
      <x:c r="B5" s="7" t="str">
        <x:v>Остаток, RUB</x:v>
      </x:c>
      <x:c r="C5" s="7" t="str">
        <x:v>DPD30+, RUB</x:v>
      </x:c>
      <x:c r="D5" s="7" t="str">
        <x:v>DPD90+, RUB</x:v>
      </x:c>
      <x:c r="E5" s="7" t="str">
        <x:v>NPL90, %</x:v>
      </x:c>
      <x:c r="F5" s="7" t="str">
        <x:v>Доход, RUB</x:v>
      </x:c>
      <x:c r="G5" s="2"/>
      <x:c r="H5" s="2"/>
    </x:row>
    <x:row r="6" ht="22" customHeight="1">
      <x:c r="A6" s="13" t="str">
        <x:v>2026-01</x:v>
      </x:c>
      <x:c r="B6" s="14">
        <x:f>IF(COUNT('Данные'!D5:D8)=0,"",SUM('Данные'!D5:D8))</x:f>
        <v>15000.00</v>
      </x:c>
      <x:c r="C6" s="14">
        <x:f>IF(COUNT('Данные'!E5:E8)=0,"",SUM('Данные'!E5:E8))</x:f>
        <v>9000.00</v>
      </x:c>
      <x:c r="D6" s="14">
        <x:f>IF(COUNT('Данные'!F5:F8)=0,"",SUM('Данные'!F5:F8))</x:f>
        <v>4000.00</v>
      </x:c>
      <x:c r="E6" s="15">
        <x:f>IF(OR(B6="",D6="",B6=0),"",ROUND(D6/B6,6))</x:f>
        <v>0.266667</v>
      </x:c>
      <x:c r="F6" s="14">
        <x:f>IF(COUNT('Данные'!H5:H8)=0,"",SUM('Данные'!H5:H8))</x:f>
        <v>9.34</v>
      </x:c>
      <x:c r="G6" s="2"/>
      <x:c r="H6" s="2"/>
    </x:row>
    <x:row r="7" ht="22" customHeight="1">
      <x:c r="A7" s="2" t="str">
        <x:v>2026-02</x:v>
      </x:c>
      <x:c r="B7" s="8">
        <x:f>IF(COUNT('Данные'!D9:D12)=0,"",SUM('Данные'!D9:D12))</x:f>
        <v>15000.00</v>
      </x:c>
      <x:c r="C7" s="8">
        <x:f>IF(COUNT('Данные'!E9:E12)=0,"",SUM('Данные'!E9:E12))</x:f>
        <v>10000.00</v>
      </x:c>
      <x:c r="D7" s="8">
        <x:f>IF(COUNT('Данные'!F9:F12)=0,"",SUM('Данные'!F9:F12))</x:f>
        <v>4000.00</v>
      </x:c>
      <x:c r="E7" s="16">
        <x:f>IF(OR(B7="",D7="",B7=0),"",ROUND(D7/B7,6))</x:f>
        <v>0.266667</v>
      </x:c>
      <x:c r="F7" s="8">
        <x:f>IF(COUNT('Данные'!H9:H12)=0,"",SUM('Данные'!H9:H12))</x:f>
        <v>8.69</v>
      </x:c>
      <x:c r="G7" s="2"/>
      <x:c r="H7" s="2"/>
    </x:row>
    <x:row r="8" ht="22" customHeight="1">
      <x:c r="A8" s="13" t="str">
        <x:v>2026-03</x:v>
      </x:c>
      <x:c r="B8" s="14">
        <x:f>IF(COUNT('Данные'!D13:D16)=0,"",SUM('Данные'!D13:D16))</x:f>
        <v>15000.00</v>
      </x:c>
      <x:c r="C8" s="14">
        <x:f>IF(COUNT('Данные'!E13:E16)=0,"",SUM('Данные'!E13:E16))</x:f>
        <v>10000.00</v>
      </x:c>
      <x:c r="D8" s="14">
        <x:f>IF(COUNT('Данные'!F13:F16)=0,"",SUM('Данные'!F13:F16))</x:f>
        <v>4000.00</v>
      </x:c>
      <x:c r="E8" s="15">
        <x:f>IF(OR(B8="",D8="",B8=0),"",ROUND(D8/B8,6))</x:f>
        <v>0.266667</v>
      </x:c>
      <x:c r="F8" s="14">
        <x:f>IF(COUNT('Данные'!H13:H16)=0,"",SUM('Данные'!H13:H16))</x:f>
        <v>9.91</v>
      </x:c>
      <x:c r="G8" s="2"/>
      <x:c r="H8" s="2"/>
    </x:row>
    <x:row r="9" ht="22" customHeight="1">
      <x:c r="A9" s="2" t="str">
        <x:v>2026-04</x:v>
      </x:c>
      <x:c r="B9" s="8">
        <x:f>IF(COUNT('Данные'!D17:D20)=0,"",SUM('Данные'!D17:D20))</x:f>
        <v>10000.00</v>
      </x:c>
      <x:c r="C9" s="8">
        <x:f>IF(COUNT('Данные'!E17:E20)=0,"",SUM('Данные'!E17:E20))</x:f>
        <v>10000.00</v>
      </x:c>
      <x:c r="D9" s="8">
        <x:f>IF(COUNT('Данные'!F17:F20)=0,"",SUM('Данные'!F17:F20))</x:f>
        <v>5000.00</v>
      </x:c>
      <x:c r="E9" s="16">
        <x:f>IF(OR(B9="",D9="",B9=0),"",ROUND(D9/B9,6))</x:f>
        <v>0.500000</v>
      </x:c>
      <x:c r="F9" s="8">
        <x:f>IF(COUNT('Данные'!H17:H20)=0,"",SUM('Данные'!H17:H20))</x:f>
        <v>7.85</v>
      </x:c>
      <x:c r="G9" s="2"/>
      <x:c r="H9" s="2"/>
    </x:row>
    <x:row r="10" ht="22" customHeight="1">
      <x:c r="A10" s="13" t="str">
        <x:v>2026-05</x:v>
      </x:c>
      <x:c r="B10" s="14">
        <x:f>IF(COUNT('Данные'!D21:D24)=0,"",SUM('Данные'!D21:D24))</x:f>
        <v>10000.00</v>
      </x:c>
      <x:c r="C10" s="14">
        <x:f>IF(COUNT('Данные'!E21:E24)=0,"",SUM('Данные'!E21:E24))</x:f>
        <v>9000.00</v>
      </x:c>
      <x:c r="D10" s="14">
        <x:f>IF(COUNT('Данные'!F21:F24)=0,"",SUM('Данные'!F21:F24))</x:f>
        <v>4000.00</v>
      </x:c>
      <x:c r="E10" s="15">
        <x:f>IF(OR(B10="",D10="",B10=0),"",ROUND(D10/B10,6))</x:f>
        <v>0.400000</v>
      </x:c>
      <x:c r="F10" s="14">
        <x:f>IF(COUNT('Данные'!H21:H24)=0,"",SUM('Данные'!H21:H24))</x:f>
        <v>7.68</v>
      </x:c>
      <x:c r="G10" s="2"/>
      <x:c r="H10" s="2"/>
    </x:row>
    <x:row r="11" ht="22" customHeight="1">
      <x:c r="A11" s="2" t="str">
        <x:v>2026-06</x:v>
      </x:c>
      <x:c r="B11" s="8">
        <x:f>IF(COUNT('Данные'!D25:D28)=0,"",SUM('Данные'!D25:D28))</x:f>
        <v>10000.00</v>
      </x:c>
      <x:c r="C11" s="8">
        <x:f>IF(COUNT('Данные'!E25:E28)=0,"",SUM('Данные'!E25:E28))</x:f>
        <v>9000.00</v>
      </x:c>
      <x:c r="D11" s="8">
        <x:f>IF(COUNT('Данные'!F25:F28)=0,"",SUM('Данные'!F25:F28))</x:f>
        <v>4000.00</v>
      </x:c>
      <x:c r="E11" s="16">
        <x:f>IF(OR(B11="",D11="",B11=0),"",ROUND(D11/B11,6))</x:f>
        <v>0.400000</v>
      </x:c>
      <x:c r="F11" s="8">
        <x:f>IF(COUNT('Данные'!H25:H28)=0,"",SUM('Данные'!H25:H28))</x:f>
        <v>7.60</v>
      </x:c>
      <x:c r="G11" s="2"/>
      <x:c r="H11" s="2"/>
    </x:row>
    <x:row r="12" ht="22" customHeight="1">
      <x:c r="A12" s="2"/>
      <x:c r="B12" s="2"/>
      <x:c r="C12" s="2"/>
      <x:c r="D12" s="2"/>
      <x:c r="E12" s="2"/>
      <x:c r="F12" s="2"/>
      <x:c r="G12" s="2"/>
      <x:c r="H12" s="2"/>
    </x:row>
    <x:row r="13" ht="22" customHeight="1">
      <x:c r="A13" s="2"/>
      <x:c r="B13" s="2"/>
      <x:c r="C13" s="2"/>
      <x:c r="D13" s="2"/>
      <x:c r="E13" s="2"/>
      <x:c r="F13" s="2"/>
      <x:c r="G13" s="2"/>
      <x:c r="H13" s="2"/>
    </x:row>
    <x:row r="14" ht="22" customHeight="1">
      <x:c r="A14" s="2" t="str">
        <x:v>DPD30+ включает DPD90+. Остатки — на конец месяца; доход — за месяц.</x:v>
      </x:c>
      <x:c r="B14" s="2"/>
      <x:c r="C14" s="2"/>
      <x:c r="D14" s="2"/>
      <x:c r="E14" s="2"/>
      <x:c r="F14" s="2"/>
      <x:c r="G14" s="2"/>
      <x:c r="H14" s="2"/>
    </x:row>
    <x:row r="15" ht="22" customHeight="1">
      <x:c r="A15" s="2" t="str">
        <x:v>Пропуски не переносятся. NPL90 при нулевом знаменателе не рассчитывается.</x:v>
      </x:c>
      <x:c r="B15" s="2"/>
      <x:c r="C15" s="2"/>
      <x:c r="D15" s="2"/>
      <x:c r="E15" s="2"/>
      <x:c r="F15" s="2"/>
      <x:c r="G15" s="2"/>
      <x:c r="H15" s="2"/>
    </x:row>
    <x:row r="16" ht="22" customHeight="1">
      <x:c r="A16" s="2"/>
      <x:c r="B16" s="2"/>
      <x:c r="C16" s="2"/>
      <x:c r="D16" s="2"/>
      <x:c r="E16" s="2"/>
      <x:c r="F16" s="2"/>
      <x:c r="G16" s="2"/>
      <x:c r="H16" s="2"/>
    </x:row>
    <x:row r="17" ht="22" customHeight="1">
      <x:c r="A17" s="2" t="str">
        <x:v>Набор</x:v>
      </x:c>
      <x:c r="B17" s="2" t="inlineStr">
        <is>
          <t>credit-demo-v1, seed 4182</t>
        </is>
      </x:c>
      <x:c r="C17" s="2"/>
      <x:c r="D17" s="2"/>
      <x:c r="E17" s="2"/>
      <x:c r="F17" s="2"/>
      <x:c r="G17" s="2"/>
      <x:c r="H17" s="2"/>
    </x:row>
    <x:row r="18" ht="22" customHeight="1">
      <x:c r="A18" s="2" t="str">
        <x:v>Checksum</x:v>
      </x:c>
      <x:c r="B18" s="2" t="inlineStr">
        <is>
          <t>f14b35faad2a5456fa4e08e1c700520b6ad945b3296c77280d84430118c2959f</t>
        </is>
      </x:c>
      <x:c r="C18" s="2"/>
      <x:c r="D18" s="2"/>
      <x:c r="E18" s="2"/>
      <x:c r="F18" s="2"/>
      <x:c r="G18" s="2"/>
      <x:c r="H18" s="2"/>
    </x:row>
    <x:row r="19" ht="22" customHeight="1">
      <x:c r="A19" s="2" t="str">
        <x:v>SQL digest</x:v>
      </x:c>
      <x:c r="B19" s="2" t="inlineStr">
        <is>
          <t>41e1d1d9e840496db8ef0c904c7244445d23a55f2d32af915bed532e0046be08</t>
        </is>
      </x:c>
      <x:c r="C19" s="2"/>
      <x:c r="D19" s="2"/>
      <x:c r="E19" s="2"/>
      <x:c r="F19" s="2"/>
      <x:c r="G19" s="2"/>
      <x:c r="H19" s="2"/>
    </x:row>
    <x:row r="20" ht="22" customHeight="1">
      <x:c r="A20" s="2" t="str">
        <x:v>История</x:v>
      </x:c>
      <x:c r="B20" s="2" t="inlineStr">
        <is>
          <t>379f6486-4111-404e-a7fb-3272f1ef9d22</t>
        </is>
      </x:c>
      <x:c r="C20" s="2"/>
      <x:c r="D20" s="2"/>
      <x:c r="E20" s="2"/>
      <x:c r="F20" s="2"/>
      <x:c r="G20" s="2"/>
      <x:c r="H20" s="2"/>
    </x:row>
    <x:row r="21" ht="22" customHeight="1">
      <x:c r="A21" s="2" t="str">
        <x:v>Ревизия</x:v>
      </x:c>
      <x:c r="B21" s="2">
        <v>1</v>
      </x:c>
      <x:c r="C21" s="2"/>
      <x:c r="D21" s="2"/>
      <x:c r="E21" s="2"/>
      <x:c r="F21" s="2"/>
      <x:c r="G21" s="2"/>
      <x:c r="H21" s="2"/>
    </x:row>
    <x:row r="22" ht="22" customHeight="1">
      <x:c r="A22" s="2" t="str">
        <x:v>Дата создания</x:v>
      </x:c>
      <x:c r="B22" s="2" t="inlineStr">
        <is>
          <t>2026-10-22T12:40:47.587779+00:00</t>
        </is>
      </x:c>
      <x:c r="C22" s="2"/>
      <x:c r="D22" s="2"/>
      <x:c r="E22" s="2"/>
      <x:c r="F22" s="2"/>
      <x:c r="G22" s="2"/>
      <x:c r="H22" s="2"/>
    </x:row>
    <x:row r="23" ht="22" customHeight="1">
      <x:c r="A23" s="2"/>
      <x:c r="B23" s="2"/>
      <x:c r="C23" s="2"/>
      <x:c r="D23" s="2"/>
      <x:c r="E23" s="2"/>
      <x:c r="F23" s="2"/>
      <x:c r="G23" s="2"/>
      <x:c r="H23" s="2"/>
    </x:row>
    <x:row r="24" ht="22" customHeight="1">
      <x:c r="A24" s="2" t="str">
        <x:v>Неполное покрытие month-end отмечается в отчёте QA.</x:v>
      </x:c>
      <x:c r="B24" s="2"/>
      <x:c r="C24" s="2"/>
      <x:c r="D24" s="2"/>
      <x:c r="E24" s="2"/>
      <x:c r="F24" s="2"/>
      <x:c r="G24" s="2"/>
      <x:c r="H24" s="2"/>
    </x:row>
    <x:row r="25" ht="22" customHeight="1">
      <x:c r="A25" s="2"/>
      <x:c r="B25" s="2"/>
      <x:c r="C25" s="2"/>
      <x:c r="D25" s="2"/>
      <x:c r="E25" s="2"/>
      <x:c r="F25" s="2"/>
      <x:c r="G25" s="2"/>
      <x:c r="H25" s="2"/>
    </x:row>
    <x:row r="26" ht="22" customHeight="1">
      <x:c r="A26" s="2"/>
      <x:c r="B26" s="2"/>
      <x:c r="C26" s="2"/>
      <x:c r="D26" s="2"/>
      <x:c r="E26" s="2"/>
      <x:c r="F26" s="2"/>
      <x:c r="G26" s="2"/>
      <x:c r="H26" s="2"/>
    </x:row>
    <x:row r="27" ht="22" customHeight="1">
      <x:c r="A27" s="2"/>
      <x:c r="B27" s="2"/>
      <x:c r="C27" s="2"/>
      <x:c r="D27" s="2"/>
      <x:c r="E27" s="2"/>
      <x:c r="F27" s="2"/>
      <x:c r="G27" s="2"/>
      <x:c r="H27" s="2"/>
    </x:row>
    <x:row r="28" ht="22" customHeight="1">
      <x:c r="A28" s="2"/>
      <x:c r="B28" s="2"/>
      <x:c r="C28" s="2"/>
      <x:c r="D28" s="2"/>
      <x:c r="E28" s="2"/>
      <x:c r="F28" s="2"/>
      <x:c r="G28" s="2"/>
      <x:c r="H28" s="2"/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="http://schemas.openxmlformats.org/spreadsheetml/2006/main">
  <x:sheetPr>
    <x:tabColor rgb="FFDCCDB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2" customHeight="1">
      <x:c r="A1" s="2" t="str">
        <x:v>Источник: SQL-витрина по credit-demo-v1, seed 4182</x:v>
      </x:c>
      <x:c r="B1" s="2"/>
      <x:c r="C1" s="2"/>
      <x:c r="D1" s="2"/>
      <x:c r="E1" s="2"/>
      <x:c r="F1" s="2"/>
      <x:c r="G1" s="2"/>
      <x:c r="H1" s="2"/>
    </x:row>
    <x:row r="2" ht="22" customHeight="1">
      <x:c r="A2" s="2" t="str">
        <x:v>Пустая ячейка означает NULL; нулевой остаток показан числом 0,00.</x:v>
      </x:c>
      <x:c r="B2" s="2"/>
      <x:c r="C2" s="2"/>
      <x:c r="D2" s="2"/>
      <x:c r="E2" s="2"/>
      <x:c r="F2" s="2"/>
      <x:c r="G2" s="2"/>
      <x:c r="H2" s="2"/>
    </x:row>
    <x:row r="3" ht="22" customHeight="1">
      <x:c r="A3" s="2"/>
      <x:c r="B3" s="2"/>
      <x:c r="C3" s="2"/>
      <x:c r="D3" s="2"/>
      <x:c r="E3" s="2"/>
      <x:c r="F3" s="2"/>
      <x:c r="G3" s="2"/>
      <x:c r="H3" s="2"/>
    </x:row>
    <x:row r="4" ht="32" customHeight="1">
      <x:c r="A4" s="7" t="str">
        <x:v>Месяц</x:v>
      </x:c>
      <x:c r="B4" s="7" t="str">
        <x:v>Product ID</x:v>
      </x:c>
      <x:c r="C4" s="7" t="str">
        <x:v>Регион</x:v>
      </x:c>
      <x:c r="D4" s="7" t="str">
        <x:v>Остаток, RUB</x:v>
      </x:c>
      <x:c r="E4" s="7" t="str">
        <x:v>DPD30+, RUB</x:v>
      </x:c>
      <x:c r="F4" s="7" t="str">
        <x:v>DPD90+, RUB</x:v>
      </x:c>
      <x:c r="G4" s="7" t="str">
        <x:v>NPL90 (доля)</x:v>
      </x:c>
      <x:c r="H4" s="7" t="str">
        <x:v>Доход, RUB</x:v>
      </x:c>
    </x:row>
    <x:row r="5" ht="22" customHeight="1">
      <x:c r="A5" s="2" t="inlineStr">
        <is>
          <t>2026-01</t>
        </is>
      </x:c>
      <x:c r="B5" s="10">
        <v>1</v>
      </x:c>
      <x:c r="C5" s="2" t="inlineStr">
        <is>
          <t>North</t>
        </is>
      </x:c>
      <x:c r="D5" s="11">
        <v>10000.00</v>
      </x:c>
      <x:c r="E5" s="11">
        <v>9000.00</v>
      </x:c>
      <x:c r="F5" s="11">
        <v>4000.00</v>
      </x:c>
      <x:c r="G5" s="12">
        <v>0.400000</v>
      </x:c>
      <x:c r="H5" s="11">
        <v>7.89</v>
      </x:c>
    </x:row>
    <x:row r="6" ht="22" customHeight="1">
      <x:c r="A6" s="2" t="inlineStr">
        <is>
          <t>2026-01</t>
        </is>
      </x:c>
      <x:c r="B6" s="10">
        <v>1</v>
      </x:c>
      <x:c r="C6" s="2" t="inlineStr">
        <is>
          <t>South</t>
        </is>
      </x:c>
      <x:c r="D6" s="11">
        <v>5000.00</v>
      </x:c>
      <x:c r="E6" s="11">
        <v>0.00</v>
      </x:c>
      <x:c r="F6" s="11">
        <v>0.00</v>
      </x:c>
      <x:c r="G6" s="12">
        <v>0.000000</v>
      </x:c>
      <x:c r="H6" s="11">
        <v>1.45</v>
      </x:c>
    </x:row>
    <x:row r="7" ht="22" customHeight="1">
      <x:c r="A7" s="2" t="inlineStr">
        <is>
          <t>2026-01</t>
        </is>
      </x:c>
      <x:c r="B7" s="10">
        <v>2</v>
      </x:c>
      <x:c r="C7" s="2" t="inlineStr">
        <is>
          <t>North</t>
        </is>
      </x:c>
      <x:c r="D7" s="11"/>
      <x:c r="E7" s="11"/>
      <x:c r="F7" s="11"/>
      <x:c r="G7" s="12"/>
      <x:c r="H7" s="11"/>
    </x:row>
    <x:row r="8" ht="22" customHeight="1">
      <x:c r="A8" s="2" t="inlineStr">
        <is>
          <t>2026-01</t>
        </is>
      </x:c>
      <x:c r="B8" s="10">
        <v>2</v>
      </x:c>
      <x:c r="C8" s="2" t="inlineStr">
        <is>
          <t>South</t>
        </is>
      </x:c>
      <x:c r="D8" s="11">
        <v>0.00</v>
      </x:c>
      <x:c r="E8" s="11">
        <v>0.00</v>
      </x:c>
      <x:c r="F8" s="11">
        <v>0.00</v>
      </x:c>
      <x:c r="G8" s="12"/>
      <x:c r="H8" s="11">
        <v>0.00</v>
      </x:c>
    </x:row>
    <x:row r="9" ht="22" customHeight="1">
      <x:c r="A9" s="2" t="inlineStr">
        <is>
          <t>2026-02</t>
        </is>
      </x:c>
      <x:c r="B9" s="10">
        <v>1</v>
      </x:c>
      <x:c r="C9" s="2" t="inlineStr">
        <is>
          <t>North</t>
        </is>
      </x:c>
      <x:c r="D9" s="11">
        <v>10000.00</v>
      </x:c>
      <x:c r="E9" s="11">
        <v>10000.00</v>
      </x:c>
      <x:c r="F9" s="11">
        <v>4000.00</v>
      </x:c>
      <x:c r="G9" s="12">
        <v>0.400000</v>
      </x:c>
      <x:c r="H9" s="11">
        <v>7.25</v>
      </x:c>
    </x:row>
    <x:row r="10" ht="22" customHeight="1">
      <x:c r="A10" s="2" t="inlineStr">
        <is>
          <t>2026-02</t>
        </is>
      </x:c>
      <x:c r="B10" s="10">
        <v>1</v>
      </x:c>
      <x:c r="C10" s="2" t="inlineStr">
        <is>
          <t>South</t>
        </is>
      </x:c>
      <x:c r="D10" s="11">
        <v>5000.00</v>
      </x:c>
      <x:c r="E10" s="11">
        <v>0.00</v>
      </x:c>
      <x:c r="F10" s="11">
        <v>0.00</v>
      </x:c>
      <x:c r="G10" s="12">
        <v>0.000000</v>
      </x:c>
      <x:c r="H10" s="11">
        <v>1.44</v>
      </x:c>
    </x:row>
    <x:row r="11" ht="22" customHeight="1">
      <x:c r="A11" s="2" t="inlineStr">
        <is>
          <t>2026-02</t>
        </is>
      </x:c>
      <x:c r="B11" s="10">
        <v>2</v>
      </x:c>
      <x:c r="C11" s="2" t="inlineStr">
        <is>
          <t>North</t>
        </is>
      </x:c>
      <x:c r="D11" s="11"/>
      <x:c r="E11" s="11"/>
      <x:c r="F11" s="11"/>
      <x:c r="G11" s="12"/>
      <x:c r="H11" s="11"/>
    </x:row>
    <x:row r="12" ht="22" customHeight="1">
      <x:c r="A12" s="2" t="inlineStr">
        <is>
          <t>2026-02</t>
        </is>
      </x:c>
      <x:c r="B12" s="10">
        <v>2</v>
      </x:c>
      <x:c r="C12" s="2" t="inlineStr">
        <is>
          <t>South</t>
        </is>
      </x:c>
      <x:c r="D12" s="11">
        <v>0.00</v>
      </x:c>
      <x:c r="E12" s="11">
        <v>0.00</v>
      </x:c>
      <x:c r="F12" s="11">
        <v>0.00</v>
      </x:c>
      <x:c r="G12" s="12"/>
      <x:c r="H12" s="11">
        <v>0.00</v>
      </x:c>
    </x:row>
    <x:row r="13" ht="22" customHeight="1">
      <x:c r="A13" s="2" t="inlineStr">
        <is>
          <t>2026-03</t>
        </is>
      </x:c>
      <x:c r="B13" s="10">
        <v>1</v>
      </x:c>
      <x:c r="C13" s="2" t="inlineStr">
        <is>
          <t>North</t>
        </is>
      </x:c>
      <x:c r="D13" s="11">
        <v>10000.00</v>
      </x:c>
      <x:c r="E13" s="11">
        <v>10000.00</v>
      </x:c>
      <x:c r="F13" s="11">
        <v>4000.00</v>
      </x:c>
      <x:c r="G13" s="12">
        <v>0.400000</v>
      </x:c>
      <x:c r="H13" s="11">
        <v>8.32</v>
      </x:c>
    </x:row>
    <x:row r="14" ht="22" customHeight="1">
      <x:c r="A14" s="2" t="inlineStr">
        <is>
          <t>2026-03</t>
        </is>
      </x:c>
      <x:c r="B14" s="10">
        <v>1</v>
      </x:c>
      <x:c r="C14" s="2" t="inlineStr">
        <is>
          <t>South</t>
        </is>
      </x:c>
      <x:c r="D14" s="11">
        <v>5000.00</v>
      </x:c>
      <x:c r="E14" s="11">
        <v>0.00</v>
      </x:c>
      <x:c r="F14" s="11">
        <v>0.00</v>
      </x:c>
      <x:c r="G14" s="12">
        <v>0.000000</v>
      </x:c>
      <x:c r="H14" s="11">
        <v>1.59</v>
      </x:c>
    </x:row>
    <x:row r="15" ht="22" customHeight="1">
      <x:c r="A15" s="2" t="inlineStr">
        <is>
          <t>2026-03</t>
        </is>
      </x:c>
      <x:c r="B15" s="10">
        <v>2</v>
      </x:c>
      <x:c r="C15" s="2" t="inlineStr">
        <is>
          <t>North</t>
        </is>
      </x:c>
      <x:c r="D15" s="11"/>
      <x:c r="E15" s="11"/>
      <x:c r="F15" s="11"/>
      <x:c r="G15" s="12"/>
      <x:c r="H15" s="11"/>
    </x:row>
    <x:row r="16" ht="22" customHeight="1">
      <x:c r="A16" s="2" t="inlineStr">
        <is>
          <t>2026-03</t>
        </is>
      </x:c>
      <x:c r="B16" s="10">
        <v>2</v>
      </x:c>
      <x:c r="C16" s="2" t="inlineStr">
        <is>
          <t>South</t>
        </is>
      </x:c>
      <x:c r="D16" s="11">
        <v>0.00</v>
      </x:c>
      <x:c r="E16" s="11">
        <v>0.00</v>
      </x:c>
      <x:c r="F16" s="11">
        <v>0.00</v>
      </x:c>
      <x:c r="G16" s="12"/>
      <x:c r="H16" s="11">
        <v>0.00</v>
      </x:c>
    </x:row>
    <x:row r="17" ht="22" customHeight="1">
      <x:c r="A17" s="2" t="inlineStr">
        <is>
          <t>2026-04</t>
        </is>
      </x:c>
      <x:c r="B17" s="10">
        <v>1</v>
      </x:c>
      <x:c r="C17" s="2" t="inlineStr">
        <is>
          <t>North</t>
        </is>
      </x:c>
      <x:c r="D17" s="11">
        <v>10000.00</v>
      </x:c>
      <x:c r="E17" s="11">
        <v>10000.00</v>
      </x:c>
      <x:c r="F17" s="11">
        <v>5000.00</v>
      </x:c>
      <x:c r="G17" s="12">
        <v>0.500000</v>
      </x:c>
      <x:c r="H17" s="11">
        <v>7.85</v>
      </x:c>
    </x:row>
    <x:row r="18" ht="22" customHeight="1">
      <x:c r="A18" s="2" t="inlineStr">
        <is>
          <t>2026-04</t>
        </is>
      </x:c>
      <x:c r="B18" s="10">
        <v>1</v>
      </x:c>
      <x:c r="C18" s="2" t="inlineStr">
        <is>
          <t>South</t>
        </is>
      </x:c>
      <x:c r="D18" s="11">
        <v>0.00</v>
      </x:c>
      <x:c r="E18" s="11">
        <v>0.00</v>
      </x:c>
      <x:c r="F18" s="11">
        <v>0.00</v>
      </x:c>
      <x:c r="G18" s="12"/>
      <x:c r="H18" s="11">
        <v>0.00</v>
      </x:c>
    </x:row>
    <x:row r="19" ht="22" customHeight="1">
      <x:c r="A19" s="2" t="inlineStr">
        <is>
          <t>2026-04</t>
        </is>
      </x:c>
      <x:c r="B19" s="10">
        <v>2</v>
      </x:c>
      <x:c r="C19" s="2" t="inlineStr">
        <is>
          <t>North</t>
        </is>
      </x:c>
      <x:c r="D19" s="11"/>
      <x:c r="E19" s="11"/>
      <x:c r="F19" s="11"/>
      <x:c r="G19" s="12"/>
      <x:c r="H19" s="11"/>
    </x:row>
    <x:row r="20" ht="22" customHeight="1">
      <x:c r="A20" s="2" t="inlineStr">
        <is>
          <t>2026-04</t>
        </is>
      </x:c>
      <x:c r="B20" s="10">
        <v>2</v>
      </x:c>
      <x:c r="C20" s="2" t="inlineStr">
        <is>
          <t>South</t>
        </is>
      </x:c>
      <x:c r="D20" s="11">
        <v>0.00</v>
      </x:c>
      <x:c r="E20" s="11">
        <v>0.00</v>
      </x:c>
      <x:c r="F20" s="11">
        <v>0.00</v>
      </x:c>
      <x:c r="G20" s="12"/>
      <x:c r="H20" s="11">
        <v>0.00</v>
      </x:c>
    </x:row>
    <x:row r="21" ht="22" customHeight="1">
      <x:c r="A21" s="2" t="inlineStr">
        <is>
          <t>2026-05</t>
        </is>
      </x:c>
      <x:c r="B21" s="10">
        <v>1</v>
      </x:c>
      <x:c r="C21" s="2" t="inlineStr">
        <is>
          <t>North</t>
        </is>
      </x:c>
      <x:c r="D21" s="11">
        <v>10000.00</v>
      </x:c>
      <x:c r="E21" s="11">
        <v>9000.00</v>
      </x:c>
      <x:c r="F21" s="11">
        <v>4000.00</v>
      </x:c>
      <x:c r="G21" s="12">
        <v>0.400000</v>
      </x:c>
      <x:c r="H21" s="11">
        <v>7.68</v>
      </x:c>
    </x:row>
    <x:row r="22" ht="22" customHeight="1">
      <x:c r="A22" s="2" t="inlineStr">
        <is>
          <t>2026-05</t>
        </is>
      </x:c>
      <x:c r="B22" s="10">
        <v>1</v>
      </x:c>
      <x:c r="C22" s="2" t="inlineStr">
        <is>
          <t>South</t>
        </is>
      </x:c>
      <x:c r="D22" s="11">
        <v>0.00</v>
      </x:c>
      <x:c r="E22" s="11">
        <v>0.00</v>
      </x:c>
      <x:c r="F22" s="11">
        <v>0.00</v>
      </x:c>
      <x:c r="G22" s="12"/>
      <x:c r="H22" s="11">
        <v>0.00</v>
      </x:c>
    </x:row>
    <x:row r="23" ht="22" customHeight="1">
      <x:c r="A23" s="2" t="inlineStr">
        <is>
          <t>2026-05</t>
        </is>
      </x:c>
      <x:c r="B23" s="10">
        <v>2</v>
      </x:c>
      <x:c r="C23" s="2" t="inlineStr">
        <is>
          <t>North</t>
        </is>
      </x:c>
      <x:c r="D23" s="11"/>
      <x:c r="E23" s="11"/>
      <x:c r="F23" s="11"/>
      <x:c r="G23" s="12"/>
      <x:c r="H23" s="11"/>
    </x:row>
    <x:row r="24" ht="22" customHeight="1">
      <x:c r="A24" s="2" t="inlineStr">
        <is>
          <t>2026-05</t>
        </is>
      </x:c>
      <x:c r="B24" s="10">
        <v>2</v>
      </x:c>
      <x:c r="C24" s="2" t="inlineStr">
        <is>
          <t>South</t>
        </is>
      </x:c>
      <x:c r="D24" s="11">
        <v>0.00</v>
      </x:c>
      <x:c r="E24" s="11">
        <v>0.00</v>
      </x:c>
      <x:c r="F24" s="11">
        <v>0.00</v>
      </x:c>
      <x:c r="G24" s="12"/>
      <x:c r="H24" s="11">
        <v>0.00</v>
      </x:c>
    </x:row>
    <x:row r="25" ht="22" customHeight="1">
      <x:c r="A25" s="2" t="inlineStr">
        <is>
          <t>2026-06</t>
        </is>
      </x:c>
      <x:c r="B25" s="10">
        <v>1</v>
      </x:c>
      <x:c r="C25" s="2" t="inlineStr">
        <is>
          <t>North</t>
        </is>
      </x:c>
      <x:c r="D25" s="11">
        <v>10000.00</v>
      </x:c>
      <x:c r="E25" s="11">
        <v>9000.00</v>
      </x:c>
      <x:c r="F25" s="11">
        <v>4000.00</v>
      </x:c>
      <x:c r="G25" s="12">
        <v>0.400000</v>
      </x:c>
      <x:c r="H25" s="11">
        <v>7.60</v>
      </x:c>
    </x:row>
    <x:row r="26" ht="22" customHeight="1">
      <x:c r="A26" s="2" t="inlineStr">
        <is>
          <t>2026-06</t>
        </is>
      </x:c>
      <x:c r="B26" s="10">
        <v>1</v>
      </x:c>
      <x:c r="C26" s="2" t="inlineStr">
        <is>
          <t>South</t>
        </is>
      </x:c>
      <x:c r="D26" s="11"/>
      <x:c r="E26" s="11"/>
      <x:c r="F26" s="11"/>
      <x:c r="G26" s="12"/>
      <x:c r="H26" s="11"/>
    </x:row>
    <x:row r="27" ht="22" customHeight="1">
      <x:c r="A27" s="2" t="inlineStr">
        <is>
          <t>2026-06</t>
        </is>
      </x:c>
      <x:c r="B27" s="10">
        <v>2</v>
      </x:c>
      <x:c r="C27" s="2" t="inlineStr">
        <is>
          <t>North</t>
        </is>
      </x:c>
      <x:c r="D27" s="11"/>
      <x:c r="E27" s="11"/>
      <x:c r="F27" s="11"/>
      <x:c r="G27" s="12"/>
      <x:c r="H27" s="11"/>
    </x:row>
    <x:row r="28" ht="22" customHeight="1">
      <x:c r="A28" s="2" t="inlineStr">
        <is>
          <t>2026-06</t>
        </is>
      </x:c>
      <x:c r="B28" s="10">
        <v>2</v>
      </x:c>
      <x:c r="C28" s="2" t="inlineStr">
        <is>
          <t>South</t>
        </is>
      </x:c>
      <x:c r="D28" s="11">
        <v>0.00</v>
      </x:c>
      <x:c r="E28" s="11">
        <v>0.00</v>
      </x:c>
      <x:c r="F28" s="11">
        <v>0.00</v>
      </x:c>
      <x:c r="G28" s="12"/>
      <x:c r="H28" s="11">
        <v>0.00</v>
      </x:c>
    </x:row>
    <x:row r="29" ht="22" customHeight="1">
      <x:c r="A29" s="2"/>
      <x:c r="B29" s="2"/>
      <x:c r="C29" s="2"/>
      <x:c r="D29" s="2"/>
      <x:c r="E29" s="2"/>
      <x:c r="F29" s="2"/>
      <x:c r="G29" s="2"/>
      <x:c r="H29" s="2"/>
    </x:row>
    <x:row r="30" ht="22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